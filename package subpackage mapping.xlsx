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ode\ABI\vilc analysis\"/>
    </mc:Choice>
  </mc:AlternateContent>
  <xr:revisionPtr revIDLastSave="0" documentId="13_ncr:1_{9542B871-D371-4F1F-ACAB-2F0C73FE6A9B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 a="1"/>
  <c r="F14" i="1" s="1"/>
  <c r="E14" i="1" a="1"/>
  <c r="E14" i="1" s="1"/>
  <c r="B14" i="1" a="1"/>
  <c r="B14" i="1" s="1"/>
  <c r="A14" i="1" a="1"/>
  <c r="A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<sst xmlns="http://schemas.openxmlformats.org/spreadsheetml/2006/main" count="22" uniqueCount="22">
  <si>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pnp Account 3</t>
  </si>
  <si>
    <t>cost/hl package</t>
  </si>
  <si>
    <t>pnp account4</t>
  </si>
  <si>
    <t>cost/hl subpackage</t>
  </si>
  <si>
    <t>column_name</t>
  </si>
  <si>
    <t>distinct_values</t>
  </si>
  <si>
    <t>Zone</t>
  </si>
  <si>
    <t>["SAZ","APAC","EUR","AFR","GHQ","MAZ","NAZ"]</t>
  </si>
  <si>
    <t>Country</t>
  </si>
  <si>
    <t>["South Korea","Denmark","Switzerland","Vietnam","Belgium","Ireland","Peru","Paraguay","Panama","Netherlands","Namibia","Caribbean","Zambia","Austria","Caribe Export","Japan","ZHQ Africa","Australia Export","Nigeria","China","India","Dominican Republic","Honduras","Botswana","Finland","Ghana","Canaries","Brazil Beer","US Beer","Bolivia","Costa Rica","Uganda","Ecuador","Luxembourg","New Zealand","Colombia","Chile","Norway","Mexico","El Salvador","Germany","Swaziland","Sweden","South-Africa","United Kingdom","WEZ Zone","Indirect Market","Tanzania","Canada","Lesotho","Mozambique","Guatemala","Puerto Rico","Uruguay","Argentina","Italy","France"]</t>
  </si>
  <si>
    <t>Entity</t>
  </si>
  <si>
    <t>["Tanzania Distilleries Ltd - Moshi Depot","Beer Sales and Distribution","Export from NA~11","DC Chuncheon","Japan (Entity)","Bosteels (BE53)","CD Chiclayo","Guayaquil","Nuevo Leon","CODC","Argentina (Entity)","DC Taubate","Vryheid Distributor","SABMiller Namibia South","China_SC","Xinxiang_PWH","HongKong","Export from EU~14","DC Ulsan","Aurangabad - Fosters","Export from EU~7","DC San Pedro","Costa Rica (Entity)","Transporte Primario","Valle","Planta Pucallpa","CD Chanchamayo","Istmo","Antofagasta","AMBEV REFRIGERANTES CURITIBANA","DC Porto Velho","DC Blumenau","DC Nova Friburgo","DC Equatorial","DC Redencao","Waltloo Depot","Jinshibai_TRPT","Mysore - SPR Distilleries","Arequipa","San Juan","CUMBAYA","Nayarit","Noreste","Fort Collins","STL","Guayaramerin","F. Natal Prod-DC","AMBEV REFRIGERANTES JUNDIAI","Tanzania Central","Tanzania Breweries Ltd - Moshi Depot","Nampula Brewery","Bellville Depot","Welkom Depot","DC Beijing","Mudanjiang(New)_TRPT","Xinxiang_TRPT","DC Dehradun","CD DANLI","Oaxaca","Dexmod","Merrimack","Non_Supply","F. YPANE PROD-DC","Export from SA~4","CERVEJARIA AGUAS CLARAS DO SUL","NBL - HO","Swaziland Central","Groblersdal Depot","Shiliang","Intrazone~8","Zhangzhou_TRPT","Aurangabad","Barrancabermeja","CD Cono Norte","Williamsburg","F. POMPEYA PROD-DC","DC Joinville","ZX_Wals","NBL - Mbarara","George Distributor","International Breweries Plc - Isolo Depot Lagos","DGO China","Putian (New) Craft_PWH","Kolkata-Celebrity-ABI (lessee)","Export from MA~2","DC Bohemia","Neiva","Siberia","Tunja","CD Ate","CD Pucallpa","Ecuador Central","Houston","BLDV","Coquimbo","Export from NA~12","DC S J Pinhais","DC Litoral","DC CDL Broker MS","Denver Depot","DC Zhoushan","Sonipat-Harayana Breweries-HBL","Bremen_PWH","Valledupar","CD Huaraz","PASCUALES","USA CORP","USA","WMS","CERVEJARIA AQUIRAZ","DC Castelao","DC Santa Cruz","Potchefstroom Depot","Export from EU~11","Wenzhou(New)_TRPT","CD Trujillo","CD Cajamarca","Sureste","Altiplano","CRTV","CAMO","DC Mississauga","Export from SA","F. Brasilia Prod-DC","CERVEJARIA BOHEMIA","Tanzania Breweries Ltd - Mbeya Brewery","KBL Opaque - Gaborone","Export from MA","Phuthaditjhaba Depot","Springfield Depot","Nantong","Wuhan RPB","DC Chengdu","DC Bhiwandi","Panawest","Export from MA~32","CD2 Itagui","Tulua","CD Camana","Hidalgo","F. MONTEVIDEO PROD-DC","CDR Bahia","CDR LOUVEIRA","DC Maceio","DC Salvador","Harbin 2","DC Shanghai South","DC Ningbo","DC Chandigarh","Canary Islands Central","United Kingdom (Entity)","CD2 Boyaca","CD Callao","LA","CD Oruro","DC Olinda","DC Presidente Prudente","Bloemfontein Depot","Isando Depot","Wenzhou","Jinzhou_PWH","Norway (Entity)","Netherlands (Entity)","CD TALANGA","Magangue","Pasto","Central PerÃº","CD Ica","Quito","ARGENTINA IMPORT PLANT","Export from MA~46","Wuhan Craft","DC Luoyang","Baoding_PWH","DC Wonju","Gwangju","Pune - Pushpam","France_PWH","DC Mao","CD LA CEIBA","Autosur","Centro","HTN","LONDON Prod-DC","DC Sherbrooke","Suqian_TRPT","Taiwan_VN","Munich","Ireland (Entity)","Export from EU~3","CD Pasatiempo","HUB KKAA UIO","PORT","CERVEJARIA JAGUARIUNA","DC Floripa","DC Sao Cristovao","Hartswater Depot","Yingkou","Export from China (Wuhan)","Ziyang_TRPT","DC Pocheon","Luxembourg (Entity)","Export from NA","CD Huancayo","MERR","Cervejas de Mocambique - Maheu Maputo","Nigeria Central","China_TRPT","Charminar","Diekirch","DC Puerto Plata","BODEGAS BEER","Ate","CD Tacna","Centro Sur T2","Metropolitana","Cobija","Concepcion","F. NOVA MINAS PROD-DC","DC Camboriu","DC Mogi Mirim","DC Pouso Alegre","DC Imperatriz","Maluti Mountain Brewery - Maputsoe Depot","Kimberley Depot","Port Shepstone Depot","Garankuwa Depot","Mudanjiang","Xiaogan","DC Samana","DC Changuinola","San Pedro Sula Beer","Puente Nacional","Export from MA~28","CERVEJARIA FONTE DA MATA","F. PERNAMBUCO PROD-DC","DC Caruaru","DC Com PI","Tanzania Breweries Ltd - Mwanza Brewery","KBL - Beer Production","Maluti Mountain Brewery - Mafeteng Depot","Jinzhou","Suqian","DC BUSE_HQ","Kunming_TRPT","DC Jeonju","Intrazone~10","Bosteels","CD COMAYAGUA","CD CaÃ±ete","CD Ilo","ZAMORA","Guadalajara","DC Norte SP","DC Alfenas","DC Maraba","CDL AS Mina","Zambia Breweries - Lusaka Brewery","Zambia Breweries - Lusaka CSD","Kunming","DGO_Doumao","Putian Museum","Sangareddy - Crown Telangana","Export from MA~33","BODEGAS CSD's","Honduras (Entity)","Aguachica","Armenia","Yopal","Export from MA~22","STANLEY PARK BREWERY","Mike's Beverage Company","DC Chicoutimi","Rosslyn depot","Xinxiang","Jishui_TRPT","Yingkou_TRPT","VSIP","DC Icheon","Magor_PWH","Jupille_PWH","DC Margen Oriental","CD2 Yumbo","Mexico Central","Edo Mexico","Acapulco","Columbia Brewery","DC Aracatuba","Tanzania Breweries Ltd - Arusha Brewery","PMburg Depot","CENTREGOFF","HQ Gwangju","DC Bilaspur","Export from MA~4","Export from EU~27","United Kingdom_PWH","CD Satipo","Norte Oriente T2","YAGUACHI","Export from MA~20","DC Uberaba","Intafact Beverages - Benin Depot","DC Taiyuan","Yanji_TRPT","DC Daegu","Commercial Duty Free","Travel &amp; Retail","Caribe Export","Turbaco","Tabasco","F. EL ALTO PROD-DC","CERVEJARIA ANAPOLIS","DC Pavuna","DC Sao Jose dos Campos","Knysna Depot","Neemrana","Tanzania Distilleries Ltd - Arusha Depot","Rustenburg Depot","Yanji","China HQ","DC BUC HQ","Jiamusi New_PWH","Jingmen_PWH","Japan HQ","Bremen","La Constancia Beer","CD Tarapoto","Veracruz","Newark","Export from EU~8","CERVEJARIA TERESINA","F. GUARULHOS PROD-DC","Zambia Central","Baragwanath Depot","Worcester Distributor","Jinshibai","GWJ","Export from EU~13","WB-C","Hyderabad","DC Pondicherry","Dominican Republic (Entity)","DC Central","Gcia Nac Serv Opr DistribuciÃ³n","Montevideo~2","CD Piura","CD Chincha","DC Carleton","Santa Fe DC","Encarnacion","AMBEV REFRIGERANTES CONTAGEM","DC Guanambi","DC Ilheus","Kokstad Depot","Dwarsloop Distributor","Tangshan 2","DC Hangzhou","DC Mokpo","DC West Busan","Issum","Conso NL","Panama (Entity)","CD Moyobamba","Zacatecas_MX","Cartersville","DC Gatineau","F. ACHERAL PROD-DC","F. Nordeste Prod-DC","Tanzania Breweries Ltd - Moshi Maltings","Chamdor Brewery","Umtata Depot","Witbank Depot","Central Office-1BCOCOF","Enfield","F. SANTA CRUZ PROD-DC","Bolivia (Entity)","CD Montero","DC Mooca","Uganda Central","Newlands Brewery","Upington Depot","Alrode Depot","Jiamusi New","DC BUW_HQ","Jishui_PWH","Export from MA~15","Switzerland (Entity)","Atlantico","CD Nazca","OHCO","Export from SA~3","CDR Extrema","DCI Cebrasa","Aliwal North Depot","Baoding_TRPT","DC Changchun","Foshan_PWH","Xinyang_TRPT","Zhangzhou_PWH","CD1 Beer","Export from NA~24","CERVEJARIA DA BAHIA","Swaziland Beverages - Brewing","Mkuze Distributor","Mudanjiang(New)_PWH","Munich_PWH","WE (Entity)","La Constancia Water","Export from MA~36","Casa Plant","Tucuman DC","Potosi","DC Campinas","CDL AS Camacari","Vredendal Distributor","Dachau","Arcen","Guatemala Central","CND","DC San Cristobal","CD LA GRANJA","CD Chimbote","TXLP","DC Jaguari","DC BUNE_HQ","Harbin 2_TRPT","Export from NA~19","El Salvador (Entity)","Chiquinquira","Export from EU","DC Gaspe","Coronel Oviedo","F. GOIANIA PROD-DC","F. UBERLANDIA PROD-DC","CERVEJARIA MINAS GERAIS","DC Pelotas","DC Sergipe","DC Pocos de Caldas","Tanzania Breweries Ltd - Dar Brewery","Intafact Beverages - Makurdi Depot","Putian (New)_TRPT","DC Sejong","DC Hapur","DC Guwahati","Las Palmas","Zacapa","Tocancipa","Curumani","CD Puerto Maldonado","CD Juliaca","San Luis Potosi","Baldwinsville","COL","F. SANTIAGO PROD-DC","F. Curitiba Prod-DC","Maluti Mountain Brewery - Maseru Brewery","Ibhayi Brewery","International Breweries Plc - Ilorin Depot","China_PWH","Shiliang_PWH","Tangshan 2_TRPT","Xiaogan_PWH","DC Santiago DR","Export from NA~23","Cali","Base Motupe T77","Peru (Entity)","CUENCA","SANTA ELENA","Michoacan","Canada (Entity)","C. PONTA GROSSA PROD-DC","DC Porto Alegre","Tanzania Distilleries Ltd - Mbeya Depot","Mafikeng Depot","Putian (New)","DC Jinan","Export from APAC","Central East Europe","Export from MA~35","CD Cono Sur","LAGO AGRIO","BANDED PEAK BREWERY","DC St. Hubert","Copiapo","F. JUNDIAI PROD-DC","Tanzania Breweries Ltd - HO","Putian (New) Craft","Nanning_PWH","KRHQ","Cheongwon","DC Gumi","Belgium (Entity)","Leuven_PWH","Ecuador (Entity)","Jacksonville","NWK","MONTREAL Prod-DC","Temuco","CERVEJARIA COLORADO","DC Santa Luzia","DC Ipatinga","DC Joao Monlevade","Swaziland Beverages - Swazi Breweries","Empangeni Depot","Polokwane Depot","Wugang","Export from Korea","DC Xian","DC Suzhou","Nantong_PWH","Wugang_PWH","Magor","Export from NA~2","CD San Miguel","GRAN","LUJAN","Concepcion - 2","Madadeni Distributor","Ziyang_PWH","New Zealand (Entity)","Jupille","Gcia Nac Operac Flota","Boyaca","CD Ayacucho","CD Rimac","Base Arequipa T77","ESMERALDAS","Trinidad","CERVEJARIA CUIABA","F. MARANHAO PROD-DC","DC Campina Grande","ZX_Bohemia","Prospecton Depot","Intafact Beverages - Abuja Depot","DC BUS_HQ","Export from Others","Intrazone~16","Middle East","PanamÃ¡","CD Soyapango","CD Santa Ana","Management Operativo T2","CD STA ROSA","Pereira","Puerto Montt","C. UBERLANDIA PROD-DC","Botswana Central","Kuruman Depot","SABMiller Namibia North","Germany (Entity)","CD JUTICALPA","CD Talara","LOJA","MACHALA","DC Lachine","F. CORRIENTES PROD-DC","Mercado Central DC","F. TARIJA PROD-DC","DC Araraquara","DC Londrina","DC Osasco","Export from Australia","Tanzania Distilleries Ltd - Mwanza Depot","Maputo Brewery","CAPEREGOFF-1CAREGOFF1","Export from NA~7","Suqian_PWH","Tangshan 2_PWH","Jebsen","HQ Icheon","Meerut-Central Distillery-CDBL","Fosters","Hato Nuevo","Puerto Rico (Entity)","CD1 Nixapa","Bucaramanga","Metroparque","Rosario DC","Export from SA~5","Paraguay (Entity)","DC Foz do IguaÃ§u","Xinyang_PWH","Yingkou_PWH","Sangareddy - Charminar - CBL","Finland (Entity)","Leuven","Export from MA~30","DC Colon","CD La UniÃ³n","Export from MA~27","Popayan","MACAS","Columbus","Fairfield","EDMONTON Prod-DC","Canada National","Export from EU~20","F. COCHABAMBA PROD-DC","Export from MA~19","CERVEJARIA SANTA CATARINA","DC Fortaleza","Wuhan_PWH","Austria (Entity)","Export from EU~26","DC ChiriquÃ­","San Andres","Santos Lugares DC","DC Campo Grande MS","Tanzania Breweries Ltd - Ubungo Depot","Mozambique Central","Xinyang","DC Gwangju Mokdong","DC Bavaro","CD San Salvador","Gerencia Nacional DistribuciÃ³n","CD ROATAN","CD Cusco","Mexico_Transport","Occidente","Culiacan","DC Sept-Iles","F. CENTRO TECNOLOGICO AMBEV PR","DC Suzano","Tanzania Distilleries Ltd","Wadeville Depot","Mauritius Central","Export from Vietnam","Jiamusi New_TRPT","Korea HQ","DC Lucknow","United Kingdom_TRPT","Colombia Central","Honda","PIFO","TULCAN","Campeche","CERVEJARIA RIO DE JANEIRO","DC Barreiras","Rosslyn Brewery","Queenstown Depot","Jinshibai_PWH","Kunming_PWH","Barranquilla","Medellin","CD Motupe","CD Tumbes","F. SACABA PROD-DC","DC Riberao Preto","DC Jau","Zambia Breweries - Ndola Brewery","Port Harcourt","Wuhan","DC Shenyang","Aurangabad - PALS Breweries","Goa - John Distilleries","Dommelen","Export from EU~21","DC DariÃ©n","Export from MA~34","La Constancia CSD","CD2 Barranquilla","Huachipa","Sonora","JKSV","ARCHIBALD MICROBRASSERIE","DC Trois-Rivieres","Rancagua","DC Rondonopolis","Export from EU~24","Intafact Beverages Beer Division","Camden","Samlesbury_PWH","DC San Francisco","DC Majagua","Almacenes Externos T2","CD COLON","Lima T2","PUYO","TrÃ³pico","Guerrero","Yacuiba","Concon","DC Maua","Prospecton Brewery","Ladysmith Depot","Nanchang 3","DC BUE_HQ","Icheon","Developing Markets","CD San Luis Talpa","Export from NA~5","Ibague","Sibate","Apartado","Colombia (Entity)","Tuxtepec","KBL Opaque - Francistown","Alrode Brewery","Greytown Distributor","Export from EU~10","Export from MA~29","CD CHOLUTECA","CD2 Tocancipa","Ibarra","QUEVEDO","TorreÃ³n","Norte","FFD","MILL STREET BREWERY","F. MENDOZA PROD-DC","Uruguay (Entity)","Sucre","DC Itaperuna","DC Rio Branco","DC Barueri","DC Piracicaba","Makhado Beer Distributor","ABInBev Namibia Windhoek","Ilesa Brewery","DGO Brex","DC Suncheon","Export from MA~13","DC Azua","Export from NA~4","Girardot","CD Huancavelica","Export from EU~9","ONTA","F. BELEM PROD-DC","Ottery Depot","ABInBev Namibia Okahandja","Foshan_TRPT","Shiliang_TRPT","Wuhan_TRPT","DC Gurugram","Sint-Pieters-Leeuw","Hoegaarden_PWH","San Gil","Cusco","Tranport 77","EL COCA","ST. JOHN'S Prod-DC","Ciudad del Este","Export from SA~1","DC Suji","Ermelo Distributor","Namibia Central","DC Nanjing","MyPhuoc","Issum_PWH","DC Chorrera","CD San Rafael Cedros","G&amp;W","Rosario 2 DC","F. AGUDOS PROD-DC","Sagamu Brewery","DC BUN_HQ","Vietnam HQ","Export from MA~16","DC DGO-H&amp;M","Samlesbury","DC San Juan","Motupe","Base Ate T77","PALESTINA","DC Quebec","DC Gunpo","Swaziland Breweries Limited","Tzaneen Depot","Baoding","Gurdaspur- ABBPL","Intrazone~9","Italy (Entity)","Export from MA~31","Caucasia","ZX-V Mex","AMBEV REFRIGERANTES SAPUCAIA","DC Nova Iguacu","Estcourt Distributor","Export from China (Foshan)","Jingmen","Nanchang3_PWH","Nanning_TRPT","Wenzhou(New)_PWH","DC Cheongju","DC Incheon","DC Kangreung","DC Sacheon","Import from South Korea","Externo","Export from NA~22","CD2 Bucaramanga","SANTO DOMINGO~1","Los Angeles","F. ZARATE PROD-DC","Pedro Juan Caballero","DC Jacarepagua","DC Campos","DC Feira de Santana","DC Cascavel","DC Volta Redonda","DC RJ Campo Grande","Yanji_PWH","DC Indore","Santa Cruz","Planta Pasadena","Management Operativo T1","Chihuahua","Baja California","Export from NA~16","Butterworth Depot","Thohoyandou Distributor","Foshan","Export from MA~10","HQ Cheongju","CD Sonsonate","CD HuÃ¡nuco","Del Bajio","FCL","HALIFAX Prod-DC","DC Rimouski","DC Riviere-Du-Loup","F. MINAS PROD-DC","DC Beltrao","DC Sul SP","Polokwane Brewery","Perserverance Depot","Standerton Depot","Central Office-1BCOBIS","Jinzhou_TRPT","Putian (New)_PWH","DC Changwon","DC Gwangju","Hoegaarden","France (Entity)","MonterÃ­a","Morelos","F. MANANTIAL PROD-DC","San Lorenzo","CERVEJARIA DA AMAZONIA","AC ADM. CENTRAL HQ","Westonaria Beer Distributor","Beverage Management Solutions","Harbin 2_PWH","DC Jeju","India HQ","CCH Markets","DC Azurero","CD Chalatenando","CD1 Water","San Pedro Sula CSD","CD LA ENTRADA","CD TELA","Cucuta","Santa Marta","Villavicencio","Cerv Modelo","CERVEJARIA DO VALE","CD Aguas Calientes","Nelspruit Depot","Central Office-1BCOFIN","Export Beer","Dominican Republic Central","DC PenonomÃ©","CD SPS","CD STA BARBARA","Girardota","Yucateca","Export from MA~8","VIRG","DC Val d'or","CERVEJARIA MACACU","DC Paranagua","DC Santa Maria","Almacen Externo","NBL - Jinja","KBL - Distribution - Francistown","Accra Brewery - Head Office","East London Depot","Nanning","CHJ","DC IH Hub","DC Daejeon","DC East Busan","Meerut","Corozal","Fonseca","Riohacha","CD Iquitos","CD Tingo MarÃ­a","MONTECRISTI","DC Vitoria","Zambia Breweries - Maltings","ABInBev  Namibia Central","Nantong_TRPT","Export from EU~15","Mumbai JNPT - ABI Customs WH","Sweden (Entity)","Kentish","Panama Central","DC Santiago PN","CD Arequipa","CD Vegueta","CD Yurimaguas","Export from MA~9","DC Paraiba","DC Varginha","Vereeniging Depot","International Breweries Plc - Ibadan Depot","Zhangzhou","ICH","DC Kyeongin","MP","Wernigerode","Belgium_FLEET","Belgium_TRPT","CD PUERTO CORTES","PLAN OPER LOG","St. Louis","F. CORDOBA PROD-DC","CERVEJARIA AGUAS CLARAS","DC Niteroi","Beira Brewery","Ghana Central","South Africa Central","Ziyang","Nanchang3_TRPT","DC Osan","Denmark (Entity)","DC Las Sabanas","CD UsulutÃ¡n","PacÃ­fico","DC Cap-Aux-Meules","F. HUARI PROD-DC","F. LA PAZ PROD-DC","Talca","F. PIRAI PROD-DC","DC Caxias","DC Colider","KBL - Distribution - Gaborone","Cervejas de Mocambique - Marracuene Brewery","Bethlehem Depot","Chamdor Depot","Jishui","Wugang_TRPT","Intrazone~11","Intrazone~12","Sonipat","DC Delhi","Wernigerode_PWH","Export from MA~26","Base Pucallpa NAO","AMBATO","DC Terrebonne","Export from MA~7","DC Mont-Laurier","F. QUILMES PROD-DC","CERVECERIA ARGENTINA","DC Diadema","DC Praia Grande","DC Lapa","NESA"]</t>
  </si>
  <si>
    <t>Account_3</t>
  </si>
  <si>
    <t>["Stock Impacts","Logistics Support (T1)","Non-Supply Costs Package (T1)","Taxes / Other Ops","Transport (T1)","Services","Non-Supply VIC Package","Imports / Exports","Footprint / Sourcing","People (T2)","Reconciliation","Auxiliary materials","Direct  Wages and Salaries","People (T1)","Transport (T2)","Logistics Support (T2)","Non-Quality","Buy-Sell Ops","Direct Energy &amp; Fluids","Non-Supply Costs Package (T2)","SD-Beer Kit","Raw materials","Co-Products","Maintenance","Packaging materials"]</t>
  </si>
  <si>
    <t>Account_4</t>
  </si>
  <si>
    <t>["Cardboard","3rd Party Services","VIC AC ST Var Cognos Recon","Non-Supply VIC Total","Non-Supply Total (T2)","Export - VILC at Standard (semi) finished products","Production Taxes","Transport Total (T1)","Non-Quality Costs Total","3rd Party Sales","Aluminum bottles","Maintenance Total","Import - VILC at Standard (semi) finished products","CO2 / Nitrogen","Dir W&amp;S-Packaging","SD Kit","Logistics Support Total (T1)","Hops Total","Electricity","Auxiliary Brewing","Other raw materials","EPR-taxes and Fees Packaging Materials","3rd Party","Packaging materials (Co-Prod)","Stock Evolution","Malt","Auxiliary Packaging","Sugar-SD","Auxiliary Quality","Dir W&amp;S-Manufacturing SD Water FAB","Flavors &amp; Finishings","OW Bottles","Closures","Stock Revaluation","Logistics Support Total (T2)","Saved Yeast","Beer Kit","Heat","Transport Total (T2)","Non-Supply Total (T1)","People Total (T2)","Operational VIC unallocated","Auxiliary Utilities","Dir W&amp;S-Brewing","Outsourcing","Craft Unallocated","Cans &amp; canlids","Yeast Brewing","Other Co-Products","Other Energy&amp;Fluids","Adjuncts","Auxiliary Common","PET Preforms","Labels","Total Extract Losses Total","Bulk Beer","People Total (T1)","Plant Mix","Variable Compensation Dir Labor","Other consumable packaging materials","Saved Grains","Environmental fees","Water Total"]</t>
  </si>
  <si>
    <t>Year</t>
  </si>
  <si>
    <t>["FY26"]</t>
  </si>
  <si>
    <t>SCFD_Package</t>
  </si>
  <si>
    <t>["Maintenance-RCM","Stock Impacts","Semi-Finished Goods","Others - APAC Specific","Services","SD Kit","Non-Supply VIC Package","Imports / Exports","Other VIC (Operational)","Direct Wages and Salaries","Services / Taxes / Other Ops","E","Footprint / Sourcing","Raw Materials","Packaging Materials","Reconciliation","Auxiliary Materials","Non-Quality","Buy-Sell Ops","Direct Energy &amp; Fluids","Raw materials","Co-Products","Packaging materials","SD-Beer Kit"]</t>
  </si>
  <si>
    <t>SCFD_Subpackage</t>
  </si>
  <si>
    <t>["Pallets Ow","Saved Yeast Wet","Saved Yeast Dried","Non-Supply Costs - Vic Ac Standard Variance","Others Adjuncts","Extracts &amp; Other Ingredients","Other Raw Materials - Others","Foam Stabilization / Anti-Foam","Ow Glass - Cullet","3rd Party Sales Malt","Other Vic (Operational)","Heating Oil","Cardboard (Co-Prod)","Scrap Metals","Brewing Supplies","Aluminum Bottles From 3rd Parties","Other Labels","Pet Preforms From 3rd Parties","Maint - Bottling Pet","Nitrogen purchased","Waas Fee","Brewing Beer","Waste Water Treatment Chemicals","Craft","Stock Evolution (Semi)-Fg (Own/Subc/Factored)","Nitrogen","Environmental fees Other","Acids (Citric Malic Etc.)","Steel Closures Bought From 3rd Parties","Spent Grains","Ow Bottles (Eco-Taxes)","Haas Fee","Cassava Bought From 3rd Parties","Paper Labels Bought From Own Production Plant","Others","Caustic Soda","Effluents (Including 1/3 Party Fees)","Co2 Purchased","Sorghum Bought From 3rd Parties","Payroll Bottling Glass / Aluminium","Malt Bought From 3rd Parties","Co2 Sales","Soft Drink Kit Bought From Own Production Plant","Pass-Thru Sales To 3rd Parties","Water","Maintenance-Rcm","Payroll Manufacturing Soft Drinks Water &amp; Fab","Sewer Bod","PSL Labels bought from 3rd parties","Maint - Canning","Pet Preforms From Own Pet Plant","Shrink Film","Beechwood Chips","Other Adjuncts","Non-Payroll Filling","Operational Vic","Special Kegging","Malt Bought From Own Malting Plants (*)","Brewing Syrups","Others (E.G. Biomass, Wood ...)","Beer Stabilizers (Pvpp Silica Gel Tannin Clarex)","Steel Closures Bought From Own Production Plant","Top-Down Challenges (Unallocated)","Maintenance-Rcm Total","Paper Labels Bought From 3rd Parties","Perfect Draft Consumables (Wez Only)","Outsourced Brewery Services","PET Labels bought from 3rd parties","Other Juices &amp; Concentrates","Maint - Other Filling","3rd Party Brewery services","Orange Juice","Enzymes","Bottling Glass / Aluminium","Supply Plant Mix","Cac Cost Conversion","Corrugated Board","Others Sweeteners Non Sugar","Cans 3rd Party Metal","Corn Bought From 3rd Parties","Hi-Cone","Stock Revaluation (Semi)-Fg (Own/Subc/Factored)","Plastics (Pet Crates And Other Plastics)","Purchase Value Factored Products","Corn Starch","Other Closures","Outsourcing Booked As Vic","Carbon fees","Other Vic - Others","Environmental Fees (Variable Part Only)","Plastic Labels Bought From 3rd Parties","Ow Bottles","Byproducts","Manufacturing","Electricity Purchased","Yeast Vitamin","Other Consumable Packaging Materials","Wheat","Corn Bought From Own Plants (*)","Nitrogen Purchased","Other Eco-Taxes","Direct Wages And Salaries","Payroll Kegging","Canning","Packaging Material","Ow Bottles Bought From Own Bottle Plant","Cans &amp; Canlids Bought From Own Production Plant","Payroll Brewing Beer","Natural Gas","Caustic Soda (Brewing)","Maint - Bottling Glass &amp; Aluminum","Activated Carbon / Other Filtration","Export - Vilc At Standard (Semi) Fp Within The Zone","Flavors &amp; Finishings","Closures","Services / Taxes / Other Ops","Payroll Other Filling","Maint - Other","Other Food-Grade Chemicals","E","Anaerobic Sludge (Biomass)","Packaging Materials (Co-Prod)","Line Lubrication","Aromas Spices Engineered Flavors","Ow Pallets","Bottling Pet","Other Raw Materials","Coding/Ink Packaging","Heat","Raw Materials","License Fees To 3rd Party","Spent Yeast","Sugar Used For Sd (Solid/Liquid)","Other Operational Vic","Var Compensation","Vic Actual Standard Variance - Difference To Cognos","Sugar","Repacking Materials","Glue","Final Disposal Costs","Export - Vilc At Standard (Semi) Fp From Other Zone","Import - Vilc At Standard (Semi) Fp From Other Zone","Apple Juice","Manufacturing Soft Drinks Water &amp; Fab","Sewer Flow","Maint - Kegging","Packaging Materials","Water Treatment Chemicals","Non-Quality Costs","Rice Bought From 3rd Parties","Other Filling","Aluminum Bottles Bought From Own Bottle Plant","Transactional Currency Hedging (Unallocated)","Taxes","Coal","Non-Payroll Manufacturing Soft Drinks Water &amp; Fab","Other Auxiliary Materials","Non-Payroll Brewing Beer","Aluminum","Handling Costs &amp; Recycling Services","Auxiliary Materials","Maint - Brewing/Manufacturing","Total Extract Losses","Hops","Other Energy&amp;Fluids","Purchased Bulk Beverages","Payroll Canning","Beer / Wort Clarifier","Non-Supply Costs - Vic At Standard","Ph Balance / Lime","Adjuncts","Plastic Closures Bought From Own Production Plant","Payroll Bottling Pet","Ow Bottles From 3rd Parties","Kieselguhr","Soft Drink Kit Bought From 3rd Parties","Transport Of Intragoup Bulk Beer","High Fructose Corn Syrup","Saved Grains Wet","Labels","Null","Lemon Juice","Direct Energy &amp; Fluids","Detergents / Cip","Plastic Closures Bought From 3rd Parties","Diatomaceious Earth (De) / Kieselguhr","Purchased Steam","Barley","Saved Grain Dried","Alcohol","Co-Products","Eaas Fee","Stretch Film","EPR-taxes","Kegging","Paper/Carton","Cans &amp; Canlids Bought From 3rd Parties","Electricity Renewable Solar","Sewer Tss","Folding Cartons","Electricity Sold","Rice Bought From Own Plants (*)","Diesel","Aluminum Closures Bought From 3rd Parties","Yeast","Roadtanker Materials","Lab Chemicals And Lab Supplies","Import - Vilc At Standard (Semi) Fp Within The Zone","Water Total","Payroll Special Kegging","#N/A","Other Vic","Pet (Eco-Taxes)","Beer Kit for 00 from own production plant"]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</si>
</sst>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8"/>
  <sheetViews>
    <sheetView tabSelected="1" workbookViewId="0">
      <selection activeCell="E12" sqref="E12"/>
    </sheetView>
  </sheetViews>
  <sheetFormatPr defaultRowHeight="14.5" x14ac:dyDescent="0.35"/>
  <cols>
    <col min="1" max="1" width="33.7265625" customWidth="1"/>
    <col min="2" max="2" width="19.36328125" customWidth="1"/>
    <col min="5" max="5" width="45.6328125" customWidth="1"/>
    <col min="6" max="6" width="27.7265625" customWidth="1"/>
  </cols>
  <sheetData>
    <row r="1" spans="1:6" x14ac:dyDescent="0.35">
      <c r="A1" t="s">
        <v>4</v>
      </c>
      <c r="B1" t="s">
        <v>5</v>
      </c>
    </row>
    <row r="2" spans="1:6" x14ac:dyDescent="0.35">
      <c r="A2" t="s">
        <v>6</v>
      </c>
      <c r="B2" t="s">
        <v>7</v>
      </c>
    </row>
    <row r="3" spans="1:6" x14ac:dyDescent="0.35">
      <c r="A3" t="s">
        <v>8</v>
      </c>
      <c r="B3" t="s">
        <v>9</v>
      </c>
    </row>
    <row r="4" spans="1:6" x14ac:dyDescent="0.35">
      <c r="A4" t="s">
        <v>10</v>
      </c>
      <c r="B4" t="s">
        <v>11</v>
      </c>
    </row>
    <row r="5" spans="1:6" x14ac:dyDescent="0.35">
      <c r="A5" t="s">
        <v>12</v>
      </c>
      <c r="B5" t="s">
        <v>13</v>
      </c>
    </row>
    <row r="6" spans="1:6" x14ac:dyDescent="0.35">
      <c r="A6" t="s">
        <v>14</v>
      </c>
      <c r="B6" t="s">
        <v>15</v>
      </c>
    </row>
    <row r="7" spans="1:6" x14ac:dyDescent="0.35">
      <c r="A7" t="s">
        <v>16</v>
      </c>
      <c r="B7" t="s">
        <v>17</v>
      </c>
    </row>
    <row r="9" spans="1:6" x14ac:dyDescent="0.35">
      <c r="A9" t="s">
        <v>18</v>
      </c>
      <c r="B9" t="s">
        <v>19</v>
      </c>
    </row>
    <row r="10" spans="1:6" x14ac:dyDescent="0.35">
      <c r="A10" t="s">
        <v>20</v>
      </c>
      <c r="B10" t="s">
        <v>21</v>
      </c>
    </row>
    <row r="13" spans="1:6" x14ac:dyDescent="0.35">
      <c r="A13" s="1" t="s">
        <v>0</v>
      </c>
      <c r="B13" s="1" t="s">
        <v>1</v>
      </c>
      <c r="E13" s="1" t="s">
        <v>2</v>
      </c>
      <c r="F13" s="1" t="s">
        <v>3</v>
      </c>
    </row>
    <row r="14" spans="1:6" x14ac:dyDescent="0.35">
      <c r="A14" t="str" cm="1">
        <f t="array" ref="A14:A38">TRANSPOSE(_xlfn.TEXTSPLIT(SUBSTITUTE(SUBSTITUTE(SUBSTITUTE(B5,"[",""),"]",""),"""",""),","))</f>
        <v>Stock Impacts</v>
      </c>
      <c r="B14" t="str" cm="1">
        <f t="array" ref="B14:B37">TRANSPOSE(_xlfn.TEXTSPLIT(SUBSTITUTE(SUBSTITUTE(SUBSTITUTE(B9,"[",""),"]",""),"""",""),","))</f>
        <v>Maintenance-RCM</v>
      </c>
      <c r="E14" t="str" cm="1">
        <f t="array" ref="E14:E76">TRANSPOSE(_xlfn.TEXTSPLIT(SUBSTITUTE(SUBSTITUTE(SUBSTITUTE(B6,"[",""),"]",""),"""",""),","))</f>
        <v>Cardboard</v>
      </c>
      <c r="F14" t="str" cm="1">
        <f t="array" ref="F14:F228">TRANSPOSE(_xlfn.TEXTSPLIT(SUBSTITUTE(SUBSTITUTE(SUBSTITUTE(B10,"[",""),"]",""),"""",""),","))</f>
        <v>Pallets Ow</v>
      </c>
    </row>
    <row r="15" spans="1:6" x14ac:dyDescent="0.35">
      <c r="A15" t="str">
        <v>Logistics Support (T1)</v>
      </c>
      <c r="B15" t="str">
        <v>Stock Impacts</v>
      </c>
      <c r="E15" t="str">
        <v>3rd Party Services</v>
      </c>
      <c r="F15" t="str">
        <v>Saved Yeast Wet</v>
      </c>
    </row>
    <row r="16" spans="1:6" x14ac:dyDescent="0.35">
      <c r="A16" t="str">
        <v>Non-Supply Costs Package (T1)</v>
      </c>
      <c r="B16" t="str">
        <v>Semi-Finished Goods</v>
      </c>
      <c r="E16" t="str">
        <v>VIC AC ST Var Cognos Recon</v>
      </c>
      <c r="F16" t="str">
        <v>Saved Yeast Dried</v>
      </c>
    </row>
    <row r="17" spans="1:6" x14ac:dyDescent="0.35">
      <c r="A17" t="str">
        <v>Taxes / Other Ops</v>
      </c>
      <c r="B17" t="str">
        <v>Others - APAC Specific</v>
      </c>
      <c r="E17" t="str">
        <v>Non-Supply VIC Total</v>
      </c>
      <c r="F17" t="str">
        <v>Non-Supply Costs - Vic Ac Standard Variance</v>
      </c>
    </row>
    <row r="18" spans="1:6" x14ac:dyDescent="0.35">
      <c r="A18" t="str">
        <v>Transport (T1)</v>
      </c>
      <c r="B18" t="str">
        <v>Services</v>
      </c>
      <c r="E18" t="str">
        <v>Non-Supply Total (T2)</v>
      </c>
      <c r="F18" t="str">
        <v>Others Adjuncts</v>
      </c>
    </row>
    <row r="19" spans="1:6" x14ac:dyDescent="0.35">
      <c r="A19" t="str">
        <v>Services</v>
      </c>
      <c r="B19" t="str">
        <v>SD Kit</v>
      </c>
      <c r="E19" t="str">
        <v>Export - VILC at Standard (semi) finished products</v>
      </c>
      <c r="F19" t="str">
        <v>Extracts &amp; Other Ingredients</v>
      </c>
    </row>
    <row r="20" spans="1:6" x14ac:dyDescent="0.35">
      <c r="A20" t="str">
        <v>Non-Supply VIC Package</v>
      </c>
      <c r="B20" t="str">
        <v>Non-Supply VIC Package</v>
      </c>
      <c r="E20" t="str">
        <v>Production Taxes</v>
      </c>
      <c r="F20" t="str">
        <v>Other Raw Materials - Others</v>
      </c>
    </row>
    <row r="21" spans="1:6" x14ac:dyDescent="0.35">
      <c r="A21" t="str">
        <v>Imports / Exports</v>
      </c>
      <c r="B21" t="str">
        <v>Imports / Exports</v>
      </c>
      <c r="E21" t="str">
        <v>Transport Total (T1)</v>
      </c>
      <c r="F21" t="str">
        <v>Foam Stabilization / Anti-Foam</v>
      </c>
    </row>
    <row r="22" spans="1:6" x14ac:dyDescent="0.35">
      <c r="A22" t="str">
        <v>Footprint / Sourcing</v>
      </c>
      <c r="B22" t="str">
        <v>Other VIC (Operational)</v>
      </c>
      <c r="E22" t="str">
        <v>Non-Quality Costs Total</v>
      </c>
      <c r="F22" t="str">
        <v>Ow Glass - Cullet</v>
      </c>
    </row>
    <row r="23" spans="1:6" x14ac:dyDescent="0.35">
      <c r="A23" t="str">
        <v>People (T2)</v>
      </c>
      <c r="B23" t="str">
        <v>Direct Wages and Salaries</v>
      </c>
      <c r="E23" t="str">
        <v>3rd Party Sales</v>
      </c>
      <c r="F23" t="str">
        <v>3rd Party Sales Malt</v>
      </c>
    </row>
    <row r="24" spans="1:6" x14ac:dyDescent="0.35">
      <c r="A24" t="str">
        <v>Reconciliation</v>
      </c>
      <c r="B24" t="str">
        <v>Services / Taxes / Other Ops</v>
      </c>
      <c r="E24" t="str">
        <v>Aluminum bottles</v>
      </c>
      <c r="F24" t="str">
        <v>Other Vic (Operational)</v>
      </c>
    </row>
    <row r="25" spans="1:6" x14ac:dyDescent="0.35">
      <c r="A25" t="str">
        <v>Auxiliary materials</v>
      </c>
      <c r="B25" t="str">
        <v>E</v>
      </c>
      <c r="E25" t="str">
        <v>Maintenance Total</v>
      </c>
      <c r="F25" t="str">
        <v>Heating Oil</v>
      </c>
    </row>
    <row r="26" spans="1:6" x14ac:dyDescent="0.35">
      <c r="A26" t="str">
        <v>Direct  Wages and Salaries</v>
      </c>
      <c r="B26" t="str">
        <v>Footprint / Sourcing</v>
      </c>
      <c r="E26" t="str">
        <v>Import - VILC at Standard (semi) finished products</v>
      </c>
      <c r="F26" t="str">
        <v>Cardboard (Co-Prod)</v>
      </c>
    </row>
    <row r="27" spans="1:6" x14ac:dyDescent="0.35">
      <c r="A27" t="str">
        <v>People (T1)</v>
      </c>
      <c r="B27" t="str">
        <v>Raw Materials</v>
      </c>
      <c r="E27" t="str">
        <v>CO2 / Nitrogen</v>
      </c>
      <c r="F27" t="str">
        <v>Scrap Metals</v>
      </c>
    </row>
    <row r="28" spans="1:6" x14ac:dyDescent="0.35">
      <c r="A28" t="str">
        <v>Transport (T2)</v>
      </c>
      <c r="B28" t="str">
        <v>Packaging Materials</v>
      </c>
      <c r="E28" t="str">
        <v>Dir W&amp;S-Packaging</v>
      </c>
      <c r="F28" t="str">
        <v>Brewing Supplies</v>
      </c>
    </row>
    <row r="29" spans="1:6" x14ac:dyDescent="0.35">
      <c r="A29" t="str">
        <v>Logistics Support (T2)</v>
      </c>
      <c r="B29" t="str">
        <v>Reconciliation</v>
      </c>
      <c r="E29" t="str">
        <v>SD Kit</v>
      </c>
      <c r="F29" t="str">
        <v>Aluminum Bottles From 3rd Parties</v>
      </c>
    </row>
    <row r="30" spans="1:6" x14ac:dyDescent="0.35">
      <c r="A30" t="str">
        <v>Non-Quality</v>
      </c>
      <c r="B30" t="str">
        <v>Auxiliary Materials</v>
      </c>
      <c r="E30" t="str">
        <v>Logistics Support Total (T1)</v>
      </c>
      <c r="F30" t="str">
        <v>Other Labels</v>
      </c>
    </row>
    <row r="31" spans="1:6" x14ac:dyDescent="0.35">
      <c r="A31" t="str">
        <v>Buy-Sell Ops</v>
      </c>
      <c r="B31" t="str">
        <v>Non-Quality</v>
      </c>
      <c r="E31" t="str">
        <v>Hops Total</v>
      </c>
      <c r="F31" t="str">
        <v>Pet Preforms From 3rd Parties</v>
      </c>
    </row>
    <row r="32" spans="1:6" x14ac:dyDescent="0.35">
      <c r="A32" t="str">
        <v>Direct Energy &amp; Fluids</v>
      </c>
      <c r="B32" t="str">
        <v>Buy-Sell Ops</v>
      </c>
      <c r="E32" t="str">
        <v>Electricity</v>
      </c>
      <c r="F32" t="str">
        <v>Maint - Bottling Pet</v>
      </c>
    </row>
    <row r="33" spans="1:6" x14ac:dyDescent="0.35">
      <c r="A33" t="str">
        <v>Non-Supply Costs Package (T2)</v>
      </c>
      <c r="B33" t="str">
        <v>Direct Energy &amp; Fluids</v>
      </c>
      <c r="E33" t="str">
        <v>Auxiliary Brewing</v>
      </c>
      <c r="F33" t="str">
        <v>Nitrogen purchased</v>
      </c>
    </row>
    <row r="34" spans="1:6" x14ac:dyDescent="0.35">
      <c r="A34" t="str">
        <v>SD-Beer Kit</v>
      </c>
      <c r="B34" t="str">
        <v>Raw materials</v>
      </c>
      <c r="E34" t="str">
        <v>Other raw materials</v>
      </c>
      <c r="F34" t="str">
        <v>Waas Fee</v>
      </c>
    </row>
    <row r="35" spans="1:6" x14ac:dyDescent="0.35">
      <c r="A35" t="str">
        <v>Raw materials</v>
      </c>
      <c r="B35" t="str">
        <v>Co-Products</v>
      </c>
      <c r="E35" t="str">
        <v>EPR-taxes and Fees Packaging Materials</v>
      </c>
      <c r="F35" t="str">
        <v>Brewing Beer</v>
      </c>
    </row>
    <row r="36" spans="1:6" x14ac:dyDescent="0.35">
      <c r="A36" t="str">
        <v>Co-Products</v>
      </c>
      <c r="B36" t="str">
        <v>Packaging materials</v>
      </c>
      <c r="E36" t="str">
        <v>3rd Party</v>
      </c>
      <c r="F36" t="str">
        <v>Waste Water Treatment Chemicals</v>
      </c>
    </row>
    <row r="37" spans="1:6" x14ac:dyDescent="0.35">
      <c r="A37" t="str">
        <v>Maintenance</v>
      </c>
      <c r="B37" t="str">
        <v>SD-Beer Kit</v>
      </c>
      <c r="E37" t="str">
        <v>Packaging materials (Co-Prod)</v>
      </c>
      <c r="F37" t="str">
        <v>Craft</v>
      </c>
    </row>
    <row r="38" spans="1:6" x14ac:dyDescent="0.35">
      <c r="A38" t="str">
        <v>Packaging materials</v>
      </c>
      <c r="E38" t="str">
        <v>Stock Evolution</v>
      </c>
      <c r="F38" t="str">
        <v>Stock Evolution (Semi)-Fg (Own/Subc/Factored)</v>
      </c>
    </row>
    <row r="39" spans="1:6" x14ac:dyDescent="0.35">
      <c r="E39" t="str">
        <v>Malt</v>
      </c>
      <c r="F39" t="str">
        <v>Nitrogen</v>
      </c>
    </row>
    <row r="40" spans="1:6" x14ac:dyDescent="0.35">
      <c r="E40" t="str">
        <v>Auxiliary Packaging</v>
      </c>
      <c r="F40" t="str">
        <v>Environmental fees Other</v>
      </c>
    </row>
    <row r="41" spans="1:6" x14ac:dyDescent="0.35">
      <c r="E41" t="str">
        <v>Sugar-SD</v>
      </c>
      <c r="F41" t="str">
        <v>Acids (Citric Malic Etc.)</v>
      </c>
    </row>
    <row r="42" spans="1:6" x14ac:dyDescent="0.35">
      <c r="E42" t="str">
        <v>Auxiliary Quality</v>
      </c>
      <c r="F42" t="str">
        <v>Steel Closures Bought From 3rd Parties</v>
      </c>
    </row>
    <row r="43" spans="1:6" x14ac:dyDescent="0.35">
      <c r="E43" t="str">
        <v>Dir W&amp;S-Manufacturing SD Water FAB</v>
      </c>
      <c r="F43" t="str">
        <v>Spent Grains</v>
      </c>
    </row>
    <row r="44" spans="1:6" x14ac:dyDescent="0.35">
      <c r="E44" t="str">
        <v>Flavors &amp; Finishings</v>
      </c>
      <c r="F44" t="str">
        <v>Ow Bottles (Eco-Taxes)</v>
      </c>
    </row>
    <row r="45" spans="1:6" x14ac:dyDescent="0.35">
      <c r="E45" t="str">
        <v>OW Bottles</v>
      </c>
      <c r="F45" t="str">
        <v>Haas Fee</v>
      </c>
    </row>
    <row r="46" spans="1:6" x14ac:dyDescent="0.35">
      <c r="E46" t="str">
        <v>Closures</v>
      </c>
      <c r="F46" t="str">
        <v>Cassava Bought From 3rd Parties</v>
      </c>
    </row>
    <row r="47" spans="1:6" x14ac:dyDescent="0.35">
      <c r="E47" t="str">
        <v>Stock Revaluation</v>
      </c>
      <c r="F47" t="str">
        <v>Paper Labels Bought From Own Production Plant</v>
      </c>
    </row>
    <row r="48" spans="1:6" x14ac:dyDescent="0.35">
      <c r="E48" t="str">
        <v>Logistics Support Total (T2)</v>
      </c>
      <c r="F48" t="str">
        <v>Others</v>
      </c>
    </row>
    <row r="49" spans="5:6" x14ac:dyDescent="0.35">
      <c r="E49" t="str">
        <v>Saved Yeast</v>
      </c>
      <c r="F49" t="str">
        <v>Caustic Soda</v>
      </c>
    </row>
    <row r="50" spans="5:6" x14ac:dyDescent="0.35">
      <c r="E50" t="str">
        <v>Beer Kit</v>
      </c>
      <c r="F50" t="str">
        <v>Effluents (Including 1/3 Party Fees)</v>
      </c>
    </row>
    <row r="51" spans="5:6" x14ac:dyDescent="0.35">
      <c r="E51" t="str">
        <v>Heat</v>
      </c>
      <c r="F51" t="str">
        <v>Co2 Purchased</v>
      </c>
    </row>
    <row r="52" spans="5:6" x14ac:dyDescent="0.35">
      <c r="E52" t="str">
        <v>Transport Total (T2)</v>
      </c>
      <c r="F52" t="str">
        <v>Sorghum Bought From 3rd Parties</v>
      </c>
    </row>
    <row r="53" spans="5:6" x14ac:dyDescent="0.35">
      <c r="E53" t="str">
        <v>Non-Supply Total (T1)</v>
      </c>
      <c r="F53" t="str">
        <v>Payroll Bottling Glass / Aluminium</v>
      </c>
    </row>
    <row r="54" spans="5:6" x14ac:dyDescent="0.35">
      <c r="E54" t="str">
        <v>People Total (T2)</v>
      </c>
      <c r="F54" t="str">
        <v>Malt Bought From 3rd Parties</v>
      </c>
    </row>
    <row r="55" spans="5:6" x14ac:dyDescent="0.35">
      <c r="E55" t="str">
        <v>Operational VIC unallocated</v>
      </c>
      <c r="F55" t="str">
        <v>Co2 Sales</v>
      </c>
    </row>
    <row r="56" spans="5:6" x14ac:dyDescent="0.35">
      <c r="E56" t="str">
        <v>Auxiliary Utilities</v>
      </c>
      <c r="F56" t="str">
        <v>Soft Drink Kit Bought From Own Production Plant</v>
      </c>
    </row>
    <row r="57" spans="5:6" x14ac:dyDescent="0.35">
      <c r="E57" t="str">
        <v>Dir W&amp;S-Brewing</v>
      </c>
      <c r="F57" t="str">
        <v>Pass-Thru Sales To 3rd Parties</v>
      </c>
    </row>
    <row r="58" spans="5:6" x14ac:dyDescent="0.35">
      <c r="E58" t="str">
        <v>Outsourcing</v>
      </c>
      <c r="F58" t="str">
        <v>Water</v>
      </c>
    </row>
    <row r="59" spans="5:6" x14ac:dyDescent="0.35">
      <c r="E59" t="str">
        <v>Craft Unallocated</v>
      </c>
      <c r="F59" t="str">
        <v>Maintenance-Rcm</v>
      </c>
    </row>
    <row r="60" spans="5:6" x14ac:dyDescent="0.35">
      <c r="E60" t="str">
        <v>Cans &amp; canlids</v>
      </c>
      <c r="F60" t="str">
        <v>Payroll Manufacturing Soft Drinks Water &amp; Fab</v>
      </c>
    </row>
    <row r="61" spans="5:6" x14ac:dyDescent="0.35">
      <c r="E61" t="str">
        <v>Yeast Brewing</v>
      </c>
      <c r="F61" t="str">
        <v>Sewer Bod</v>
      </c>
    </row>
    <row r="62" spans="5:6" x14ac:dyDescent="0.35">
      <c r="E62" t="str">
        <v>Other Co-Products</v>
      </c>
      <c r="F62" t="str">
        <v>PSL Labels bought from 3rd parties</v>
      </c>
    </row>
    <row r="63" spans="5:6" x14ac:dyDescent="0.35">
      <c r="E63" t="str">
        <v>Other Energy&amp;Fluids</v>
      </c>
      <c r="F63" t="str">
        <v>Maint - Canning</v>
      </c>
    </row>
    <row r="64" spans="5:6" x14ac:dyDescent="0.35">
      <c r="E64" t="str">
        <v>Adjuncts</v>
      </c>
      <c r="F64" t="str">
        <v>Pet Preforms From Own Pet Plant</v>
      </c>
    </row>
    <row r="65" spans="5:6" x14ac:dyDescent="0.35">
      <c r="E65" t="str">
        <v>Auxiliary Common</v>
      </c>
      <c r="F65" t="str">
        <v>Shrink Film</v>
      </c>
    </row>
    <row r="66" spans="5:6" x14ac:dyDescent="0.35">
      <c r="E66" t="str">
        <v>PET Preforms</v>
      </c>
      <c r="F66" t="str">
        <v>Beechwood Chips</v>
      </c>
    </row>
    <row r="67" spans="5:6" x14ac:dyDescent="0.35">
      <c r="E67" t="str">
        <v>Labels</v>
      </c>
      <c r="F67" t="str">
        <v>Other Adjuncts</v>
      </c>
    </row>
    <row r="68" spans="5:6" x14ac:dyDescent="0.35">
      <c r="E68" t="str">
        <v>Total Extract Losses Total</v>
      </c>
      <c r="F68" t="str">
        <v>Non-Payroll Filling</v>
      </c>
    </row>
    <row r="69" spans="5:6" x14ac:dyDescent="0.35">
      <c r="E69" t="str">
        <v>Bulk Beer</v>
      </c>
      <c r="F69" t="str">
        <v>Operational Vic</v>
      </c>
    </row>
    <row r="70" spans="5:6" x14ac:dyDescent="0.35">
      <c r="E70" t="str">
        <v>People Total (T1)</v>
      </c>
      <c r="F70" t="str">
        <v>Special Kegging</v>
      </c>
    </row>
    <row r="71" spans="5:6" x14ac:dyDescent="0.35">
      <c r="E71" t="str">
        <v>Plant Mix</v>
      </c>
      <c r="F71" t="str">
        <v>Malt Bought From Own Malting Plants (*)</v>
      </c>
    </row>
    <row r="72" spans="5:6" x14ac:dyDescent="0.35">
      <c r="E72" t="str">
        <v>Variable Compensation Dir Labor</v>
      </c>
      <c r="F72" t="str">
        <v>Brewing Syrups</v>
      </c>
    </row>
    <row r="73" spans="5:6" x14ac:dyDescent="0.35">
      <c r="E73" t="str">
        <v>Other consumable packaging materials</v>
      </c>
      <c r="F73" t="str">
        <v>Others (E.G. Biomass</v>
      </c>
    </row>
    <row r="74" spans="5:6" x14ac:dyDescent="0.35">
      <c r="E74" t="str">
        <v>Saved Grains</v>
      </c>
      <c r="F74" t="str">
        <v xml:space="preserve"> Wood ...)</v>
      </c>
    </row>
    <row r="75" spans="5:6" x14ac:dyDescent="0.35">
      <c r="E75" t="str">
        <v>Environmental fees</v>
      </c>
      <c r="F75" t="str">
        <v>Beer Stabilizers (Pvpp Silica Gel Tannin Clarex)</v>
      </c>
    </row>
    <row r="76" spans="5:6" x14ac:dyDescent="0.35">
      <c r="E76" t="str">
        <v>Water Total</v>
      </c>
      <c r="F76" t="str">
        <v>Steel Closures Bought From Own Production Plant</v>
      </c>
    </row>
    <row r="77" spans="5:6" x14ac:dyDescent="0.35">
      <c r="F77" t="str">
        <v>Top-Down Challenges (Unallocated)</v>
      </c>
    </row>
    <row r="78" spans="5:6" x14ac:dyDescent="0.35">
      <c r="F78" t="str">
        <v>Maintenance-Rcm Total</v>
      </c>
    </row>
    <row r="79" spans="5:6" x14ac:dyDescent="0.35">
      <c r="F79" t="str">
        <v>Paper Labels Bought From 3rd Parties</v>
      </c>
    </row>
    <row r="80" spans="5:6" x14ac:dyDescent="0.35">
      <c r="F80" t="str">
        <v>Perfect Draft Consumables (Wez Only)</v>
      </c>
    </row>
    <row r="81" spans="6:6" x14ac:dyDescent="0.35">
      <c r="F81" t="str">
        <v>Outsourced Brewery Services</v>
      </c>
    </row>
    <row r="82" spans="6:6" x14ac:dyDescent="0.35">
      <c r="F82" t="str">
        <v>PET Labels bought from 3rd parties</v>
      </c>
    </row>
    <row r="83" spans="6:6" x14ac:dyDescent="0.35">
      <c r="F83" t="str">
        <v>Other Juices &amp; Concentrates</v>
      </c>
    </row>
    <row r="84" spans="6:6" x14ac:dyDescent="0.35">
      <c r="F84" t="str">
        <v>Maint - Other Filling</v>
      </c>
    </row>
    <row r="85" spans="6:6" x14ac:dyDescent="0.35">
      <c r="F85" t="str">
        <v>3rd Party Brewery services</v>
      </c>
    </row>
    <row r="86" spans="6:6" x14ac:dyDescent="0.35">
      <c r="F86" t="str">
        <v>Orange Juice</v>
      </c>
    </row>
    <row r="87" spans="6:6" x14ac:dyDescent="0.35">
      <c r="F87" t="str">
        <v>Enzymes</v>
      </c>
    </row>
    <row r="88" spans="6:6" x14ac:dyDescent="0.35">
      <c r="F88" t="str">
        <v>Bottling Glass / Aluminium</v>
      </c>
    </row>
    <row r="89" spans="6:6" x14ac:dyDescent="0.35">
      <c r="F89" t="str">
        <v>Supply Plant Mix</v>
      </c>
    </row>
    <row r="90" spans="6:6" x14ac:dyDescent="0.35">
      <c r="F90" t="str">
        <v>Cac Cost Conversion</v>
      </c>
    </row>
    <row r="91" spans="6:6" x14ac:dyDescent="0.35">
      <c r="F91" t="str">
        <v>Corrugated Board</v>
      </c>
    </row>
    <row r="92" spans="6:6" x14ac:dyDescent="0.35">
      <c r="F92" t="str">
        <v>Others Sweeteners Non Sugar</v>
      </c>
    </row>
    <row r="93" spans="6:6" x14ac:dyDescent="0.35">
      <c r="F93" t="str">
        <v>Cans 3rd Party Metal</v>
      </c>
    </row>
    <row r="94" spans="6:6" x14ac:dyDescent="0.35">
      <c r="F94" t="str">
        <v>Corn Bought From 3rd Parties</v>
      </c>
    </row>
    <row r="95" spans="6:6" x14ac:dyDescent="0.35">
      <c r="F95" t="str">
        <v>Hi-Cone</v>
      </c>
    </row>
    <row r="96" spans="6:6" x14ac:dyDescent="0.35">
      <c r="F96" t="str">
        <v>Stock Revaluation (Semi)-Fg (Own/Subc/Factored)</v>
      </c>
    </row>
    <row r="97" spans="6:6" x14ac:dyDescent="0.35">
      <c r="F97" t="str">
        <v>Plastics (Pet Crates And Other Plastics)</v>
      </c>
    </row>
    <row r="98" spans="6:6" x14ac:dyDescent="0.35">
      <c r="F98" t="str">
        <v>Purchase Value Factored Products</v>
      </c>
    </row>
    <row r="99" spans="6:6" x14ac:dyDescent="0.35">
      <c r="F99" t="str">
        <v>Corn Starch</v>
      </c>
    </row>
    <row r="100" spans="6:6" x14ac:dyDescent="0.35">
      <c r="F100" t="str">
        <v>Other Closures</v>
      </c>
    </row>
    <row r="101" spans="6:6" x14ac:dyDescent="0.35">
      <c r="F101" t="str">
        <v>Outsourcing Booked As Vic</v>
      </c>
    </row>
    <row r="102" spans="6:6" x14ac:dyDescent="0.35">
      <c r="F102" t="str">
        <v>Carbon fees</v>
      </c>
    </row>
    <row r="103" spans="6:6" x14ac:dyDescent="0.35">
      <c r="F103" t="str">
        <v>Other Vic - Others</v>
      </c>
    </row>
    <row r="104" spans="6:6" x14ac:dyDescent="0.35">
      <c r="F104" t="str">
        <v>Environmental Fees (Variable Part Only)</v>
      </c>
    </row>
    <row r="105" spans="6:6" x14ac:dyDescent="0.35">
      <c r="F105" t="str">
        <v>Plastic Labels Bought From 3rd Parties</v>
      </c>
    </row>
    <row r="106" spans="6:6" x14ac:dyDescent="0.35">
      <c r="F106" t="str">
        <v>Ow Bottles</v>
      </c>
    </row>
    <row r="107" spans="6:6" x14ac:dyDescent="0.35">
      <c r="F107" t="str">
        <v>Byproducts</v>
      </c>
    </row>
    <row r="108" spans="6:6" x14ac:dyDescent="0.35">
      <c r="F108" t="str">
        <v>Manufacturing</v>
      </c>
    </row>
    <row r="109" spans="6:6" x14ac:dyDescent="0.35">
      <c r="F109" t="str">
        <v>Electricity Purchased</v>
      </c>
    </row>
    <row r="110" spans="6:6" x14ac:dyDescent="0.35">
      <c r="F110" t="str">
        <v>Yeast Vitamin</v>
      </c>
    </row>
    <row r="111" spans="6:6" x14ac:dyDescent="0.35">
      <c r="F111" t="str">
        <v>Other Consumable Packaging Materials</v>
      </c>
    </row>
    <row r="112" spans="6:6" x14ac:dyDescent="0.35">
      <c r="F112" t="str">
        <v>Wheat</v>
      </c>
    </row>
    <row r="113" spans="6:6" x14ac:dyDescent="0.35">
      <c r="F113" t="str">
        <v>Corn Bought From Own Plants (*)</v>
      </c>
    </row>
    <row r="114" spans="6:6" x14ac:dyDescent="0.35">
      <c r="F114" t="str">
        <v>Nitrogen Purchased</v>
      </c>
    </row>
    <row r="115" spans="6:6" x14ac:dyDescent="0.35">
      <c r="F115" t="str">
        <v>Other Eco-Taxes</v>
      </c>
    </row>
    <row r="116" spans="6:6" x14ac:dyDescent="0.35">
      <c r="F116" t="str">
        <v>Direct Wages And Salaries</v>
      </c>
    </row>
    <row r="117" spans="6:6" x14ac:dyDescent="0.35">
      <c r="F117" t="str">
        <v>Payroll Kegging</v>
      </c>
    </row>
    <row r="118" spans="6:6" x14ac:dyDescent="0.35">
      <c r="F118" t="str">
        <v>Canning</v>
      </c>
    </row>
    <row r="119" spans="6:6" x14ac:dyDescent="0.35">
      <c r="F119" t="str">
        <v>Packaging Material</v>
      </c>
    </row>
    <row r="120" spans="6:6" x14ac:dyDescent="0.35">
      <c r="F120" t="str">
        <v>Ow Bottles Bought From Own Bottle Plant</v>
      </c>
    </row>
    <row r="121" spans="6:6" x14ac:dyDescent="0.35">
      <c r="F121" t="str">
        <v>Cans &amp; Canlids Bought From Own Production Plant</v>
      </c>
    </row>
    <row r="122" spans="6:6" x14ac:dyDescent="0.35">
      <c r="F122" t="str">
        <v>Payroll Brewing Beer</v>
      </c>
    </row>
    <row r="123" spans="6:6" x14ac:dyDescent="0.35">
      <c r="F123" t="str">
        <v>Natural Gas</v>
      </c>
    </row>
    <row r="124" spans="6:6" x14ac:dyDescent="0.35">
      <c r="F124" t="str">
        <v>Caustic Soda (Brewing)</v>
      </c>
    </row>
    <row r="125" spans="6:6" x14ac:dyDescent="0.35">
      <c r="F125" t="str">
        <v>Maint - Bottling Glass &amp; Aluminum</v>
      </c>
    </row>
    <row r="126" spans="6:6" x14ac:dyDescent="0.35">
      <c r="F126" t="str">
        <v>Activated Carbon / Other Filtration</v>
      </c>
    </row>
    <row r="127" spans="6:6" x14ac:dyDescent="0.35">
      <c r="F127" t="str">
        <v>Export - Vilc At Standard (Semi) Fp Within The Zone</v>
      </c>
    </row>
    <row r="128" spans="6:6" x14ac:dyDescent="0.35">
      <c r="F128" t="str">
        <v>Flavors &amp; Finishings</v>
      </c>
    </row>
    <row r="129" spans="6:6" x14ac:dyDescent="0.35">
      <c r="F129" t="str">
        <v>Closures</v>
      </c>
    </row>
    <row r="130" spans="6:6" x14ac:dyDescent="0.35">
      <c r="F130" t="str">
        <v>Services / Taxes / Other Ops</v>
      </c>
    </row>
    <row r="131" spans="6:6" x14ac:dyDescent="0.35">
      <c r="F131" t="str">
        <v>Payroll Other Filling</v>
      </c>
    </row>
    <row r="132" spans="6:6" x14ac:dyDescent="0.35">
      <c r="F132" t="str">
        <v>Maint - Other</v>
      </c>
    </row>
    <row r="133" spans="6:6" x14ac:dyDescent="0.35">
      <c r="F133" t="str">
        <v>Other Food-Grade Chemicals</v>
      </c>
    </row>
    <row r="134" spans="6:6" x14ac:dyDescent="0.35">
      <c r="F134" t="str">
        <v>E</v>
      </c>
    </row>
    <row r="135" spans="6:6" x14ac:dyDescent="0.35">
      <c r="F135" t="str">
        <v>Anaerobic Sludge (Biomass)</v>
      </c>
    </row>
    <row r="136" spans="6:6" x14ac:dyDescent="0.35">
      <c r="F136" t="str">
        <v>Packaging Materials (Co-Prod)</v>
      </c>
    </row>
    <row r="137" spans="6:6" x14ac:dyDescent="0.35">
      <c r="F137" t="str">
        <v>Line Lubrication</v>
      </c>
    </row>
    <row r="138" spans="6:6" x14ac:dyDescent="0.35">
      <c r="F138" t="str">
        <v>Aromas Spices Engineered Flavors</v>
      </c>
    </row>
    <row r="139" spans="6:6" x14ac:dyDescent="0.35">
      <c r="F139" t="str">
        <v>Ow Pallets</v>
      </c>
    </row>
    <row r="140" spans="6:6" x14ac:dyDescent="0.35">
      <c r="F140" t="str">
        <v>Bottling Pet</v>
      </c>
    </row>
    <row r="141" spans="6:6" x14ac:dyDescent="0.35">
      <c r="F141" t="str">
        <v>Other Raw Materials</v>
      </c>
    </row>
    <row r="142" spans="6:6" x14ac:dyDescent="0.35">
      <c r="F142" t="str">
        <v>Coding/Ink Packaging</v>
      </c>
    </row>
    <row r="143" spans="6:6" x14ac:dyDescent="0.35">
      <c r="F143" t="str">
        <v>Heat</v>
      </c>
    </row>
    <row r="144" spans="6:6" x14ac:dyDescent="0.35">
      <c r="F144" t="str">
        <v>Raw Materials</v>
      </c>
    </row>
    <row r="145" spans="6:6" x14ac:dyDescent="0.35">
      <c r="F145" t="str">
        <v>License Fees To 3rd Party</v>
      </c>
    </row>
    <row r="146" spans="6:6" x14ac:dyDescent="0.35">
      <c r="F146" t="str">
        <v>Spent Yeast</v>
      </c>
    </row>
    <row r="147" spans="6:6" x14ac:dyDescent="0.35">
      <c r="F147" t="str">
        <v>Sugar Used For Sd (Solid/Liquid)</v>
      </c>
    </row>
    <row r="148" spans="6:6" x14ac:dyDescent="0.35">
      <c r="F148" t="str">
        <v>Other Operational Vic</v>
      </c>
    </row>
    <row r="149" spans="6:6" x14ac:dyDescent="0.35">
      <c r="F149" t="str">
        <v>Var Compensation</v>
      </c>
    </row>
    <row r="150" spans="6:6" x14ac:dyDescent="0.35">
      <c r="F150" t="str">
        <v>Vic Actual Standard Variance - Difference To Cognos</v>
      </c>
    </row>
    <row r="151" spans="6:6" x14ac:dyDescent="0.35">
      <c r="F151" t="str">
        <v>Sugar</v>
      </c>
    </row>
    <row r="152" spans="6:6" x14ac:dyDescent="0.35">
      <c r="F152" t="str">
        <v>Repacking Materials</v>
      </c>
    </row>
    <row r="153" spans="6:6" x14ac:dyDescent="0.35">
      <c r="F153" t="str">
        <v>Glue</v>
      </c>
    </row>
    <row r="154" spans="6:6" x14ac:dyDescent="0.35">
      <c r="F154" t="str">
        <v>Final Disposal Costs</v>
      </c>
    </row>
    <row r="155" spans="6:6" x14ac:dyDescent="0.35">
      <c r="F155" t="str">
        <v>Export - Vilc At Standard (Semi) Fp From Other Zone</v>
      </c>
    </row>
    <row r="156" spans="6:6" x14ac:dyDescent="0.35">
      <c r="F156" t="str">
        <v>Import - Vilc At Standard (Semi) Fp From Other Zone</v>
      </c>
    </row>
    <row r="157" spans="6:6" x14ac:dyDescent="0.35">
      <c r="F157" t="str">
        <v>Apple Juice</v>
      </c>
    </row>
    <row r="158" spans="6:6" x14ac:dyDescent="0.35">
      <c r="F158" t="str">
        <v>Manufacturing Soft Drinks Water &amp; Fab</v>
      </c>
    </row>
    <row r="159" spans="6:6" x14ac:dyDescent="0.35">
      <c r="F159" t="str">
        <v>Sewer Flow</v>
      </c>
    </row>
    <row r="160" spans="6:6" x14ac:dyDescent="0.35">
      <c r="F160" t="str">
        <v>Maint - Kegging</v>
      </c>
    </row>
    <row r="161" spans="6:6" x14ac:dyDescent="0.35">
      <c r="F161" t="str">
        <v>Packaging Materials</v>
      </c>
    </row>
    <row r="162" spans="6:6" x14ac:dyDescent="0.35">
      <c r="F162" t="str">
        <v>Water Treatment Chemicals</v>
      </c>
    </row>
    <row r="163" spans="6:6" x14ac:dyDescent="0.35">
      <c r="F163" t="str">
        <v>Non-Quality Costs</v>
      </c>
    </row>
    <row r="164" spans="6:6" x14ac:dyDescent="0.35">
      <c r="F164" t="str">
        <v>Rice Bought From 3rd Parties</v>
      </c>
    </row>
    <row r="165" spans="6:6" x14ac:dyDescent="0.35">
      <c r="F165" t="str">
        <v>Other Filling</v>
      </c>
    </row>
    <row r="166" spans="6:6" x14ac:dyDescent="0.35">
      <c r="F166" t="str">
        <v>Aluminum Bottles Bought From Own Bottle Plant</v>
      </c>
    </row>
    <row r="167" spans="6:6" x14ac:dyDescent="0.35">
      <c r="F167" t="str">
        <v>Transactional Currency Hedging (Unallocated)</v>
      </c>
    </row>
    <row r="168" spans="6:6" x14ac:dyDescent="0.35">
      <c r="F168" t="str">
        <v>Taxes</v>
      </c>
    </row>
    <row r="169" spans="6:6" x14ac:dyDescent="0.35">
      <c r="F169" t="str">
        <v>Coal</v>
      </c>
    </row>
    <row r="170" spans="6:6" x14ac:dyDescent="0.35">
      <c r="F170" t="str">
        <v>Non-Payroll Manufacturing Soft Drinks Water &amp; Fab</v>
      </c>
    </row>
    <row r="171" spans="6:6" x14ac:dyDescent="0.35">
      <c r="F171" t="str">
        <v>Other Auxiliary Materials</v>
      </c>
    </row>
    <row r="172" spans="6:6" x14ac:dyDescent="0.35">
      <c r="F172" t="str">
        <v>Non-Payroll Brewing Beer</v>
      </c>
    </row>
    <row r="173" spans="6:6" x14ac:dyDescent="0.35">
      <c r="F173" t="str">
        <v>Aluminum</v>
      </c>
    </row>
    <row r="174" spans="6:6" x14ac:dyDescent="0.35">
      <c r="F174" t="str">
        <v>Handling Costs &amp; Recycling Services</v>
      </c>
    </row>
    <row r="175" spans="6:6" x14ac:dyDescent="0.35">
      <c r="F175" t="str">
        <v>Auxiliary Materials</v>
      </c>
    </row>
    <row r="176" spans="6:6" x14ac:dyDescent="0.35">
      <c r="F176" t="str">
        <v>Maint - Brewing/Manufacturing</v>
      </c>
    </row>
    <row r="177" spans="6:6" x14ac:dyDescent="0.35">
      <c r="F177" t="str">
        <v>Total Extract Losses</v>
      </c>
    </row>
    <row r="178" spans="6:6" x14ac:dyDescent="0.35">
      <c r="F178" t="str">
        <v>Hops</v>
      </c>
    </row>
    <row r="179" spans="6:6" x14ac:dyDescent="0.35">
      <c r="F179" t="str">
        <v>Other Energy&amp;Fluids</v>
      </c>
    </row>
    <row r="180" spans="6:6" x14ac:dyDescent="0.35">
      <c r="F180" t="str">
        <v>Purchased Bulk Beverages</v>
      </c>
    </row>
    <row r="181" spans="6:6" x14ac:dyDescent="0.35">
      <c r="F181" t="str">
        <v>Payroll Canning</v>
      </c>
    </row>
    <row r="182" spans="6:6" x14ac:dyDescent="0.35">
      <c r="F182" t="str">
        <v>Beer / Wort Clarifier</v>
      </c>
    </row>
    <row r="183" spans="6:6" x14ac:dyDescent="0.35">
      <c r="F183" t="str">
        <v>Non-Supply Costs - Vic At Standard</v>
      </c>
    </row>
    <row r="184" spans="6:6" x14ac:dyDescent="0.35">
      <c r="F184" t="str">
        <v>Ph Balance / Lime</v>
      </c>
    </row>
    <row r="185" spans="6:6" x14ac:dyDescent="0.35">
      <c r="F185" t="str">
        <v>Adjuncts</v>
      </c>
    </row>
    <row r="186" spans="6:6" x14ac:dyDescent="0.35">
      <c r="F186" t="str">
        <v>Plastic Closures Bought From Own Production Plant</v>
      </c>
    </row>
    <row r="187" spans="6:6" x14ac:dyDescent="0.35">
      <c r="F187" t="str">
        <v>Payroll Bottling Pet</v>
      </c>
    </row>
    <row r="188" spans="6:6" x14ac:dyDescent="0.35">
      <c r="F188" t="str">
        <v>Ow Bottles From 3rd Parties</v>
      </c>
    </row>
    <row r="189" spans="6:6" x14ac:dyDescent="0.35">
      <c r="F189" t="str">
        <v>Kieselguhr</v>
      </c>
    </row>
    <row r="190" spans="6:6" x14ac:dyDescent="0.35">
      <c r="F190" t="str">
        <v>Soft Drink Kit Bought From 3rd Parties</v>
      </c>
    </row>
    <row r="191" spans="6:6" x14ac:dyDescent="0.35">
      <c r="F191" t="str">
        <v>Transport Of Intragoup Bulk Beer</v>
      </c>
    </row>
    <row r="192" spans="6:6" x14ac:dyDescent="0.35">
      <c r="F192" t="str">
        <v>High Fructose Corn Syrup</v>
      </c>
    </row>
    <row r="193" spans="6:6" x14ac:dyDescent="0.35">
      <c r="F193" t="str">
        <v>Saved Grains Wet</v>
      </c>
    </row>
    <row r="194" spans="6:6" x14ac:dyDescent="0.35">
      <c r="F194" t="str">
        <v>Labels</v>
      </c>
    </row>
    <row r="195" spans="6:6" x14ac:dyDescent="0.35">
      <c r="F195" t="str">
        <v>Null</v>
      </c>
    </row>
    <row r="196" spans="6:6" x14ac:dyDescent="0.35">
      <c r="F196" t="str">
        <v>Lemon Juice</v>
      </c>
    </row>
    <row r="197" spans="6:6" x14ac:dyDescent="0.35">
      <c r="F197" t="str">
        <v>Direct Energy &amp; Fluids</v>
      </c>
    </row>
    <row r="198" spans="6:6" x14ac:dyDescent="0.35">
      <c r="F198" t="str">
        <v>Detergents / Cip</v>
      </c>
    </row>
    <row r="199" spans="6:6" x14ac:dyDescent="0.35">
      <c r="F199" t="str">
        <v>Plastic Closures Bought From 3rd Parties</v>
      </c>
    </row>
    <row r="200" spans="6:6" x14ac:dyDescent="0.35">
      <c r="F200" t="str">
        <v>Diatomaceious Earth (De) / Kieselguhr</v>
      </c>
    </row>
    <row r="201" spans="6:6" x14ac:dyDescent="0.35">
      <c r="F201" t="str">
        <v>Purchased Steam</v>
      </c>
    </row>
    <row r="202" spans="6:6" x14ac:dyDescent="0.35">
      <c r="F202" t="str">
        <v>Barley</v>
      </c>
    </row>
    <row r="203" spans="6:6" x14ac:dyDescent="0.35">
      <c r="F203" t="str">
        <v>Saved Grain Dried</v>
      </c>
    </row>
    <row r="204" spans="6:6" x14ac:dyDescent="0.35">
      <c r="F204" t="str">
        <v>Alcohol</v>
      </c>
    </row>
    <row r="205" spans="6:6" x14ac:dyDescent="0.35">
      <c r="F205" t="str">
        <v>Co-Products</v>
      </c>
    </row>
    <row r="206" spans="6:6" x14ac:dyDescent="0.35">
      <c r="F206" t="str">
        <v>Eaas Fee</v>
      </c>
    </row>
    <row r="207" spans="6:6" x14ac:dyDescent="0.35">
      <c r="F207" t="str">
        <v>Stretch Film</v>
      </c>
    </row>
    <row r="208" spans="6:6" x14ac:dyDescent="0.35">
      <c r="F208" t="str">
        <v>EPR-taxes</v>
      </c>
    </row>
    <row r="209" spans="6:6" x14ac:dyDescent="0.35">
      <c r="F209" t="str">
        <v>Kegging</v>
      </c>
    </row>
    <row r="210" spans="6:6" x14ac:dyDescent="0.35">
      <c r="F210" t="str">
        <v>Paper/Carton</v>
      </c>
    </row>
    <row r="211" spans="6:6" x14ac:dyDescent="0.35">
      <c r="F211" t="str">
        <v>Cans &amp; Canlids Bought From 3rd Parties</v>
      </c>
    </row>
    <row r="212" spans="6:6" x14ac:dyDescent="0.35">
      <c r="F212" t="str">
        <v>Electricity Renewable Solar</v>
      </c>
    </row>
    <row r="213" spans="6:6" x14ac:dyDescent="0.35">
      <c r="F213" t="str">
        <v>Sewer Tss</v>
      </c>
    </row>
    <row r="214" spans="6:6" x14ac:dyDescent="0.35">
      <c r="F214" t="str">
        <v>Folding Cartons</v>
      </c>
    </row>
    <row r="215" spans="6:6" x14ac:dyDescent="0.35">
      <c r="F215" t="str">
        <v>Electricity Sold</v>
      </c>
    </row>
    <row r="216" spans="6:6" x14ac:dyDescent="0.35">
      <c r="F216" t="str">
        <v>Rice Bought From Own Plants (*)</v>
      </c>
    </row>
    <row r="217" spans="6:6" x14ac:dyDescent="0.35">
      <c r="F217" t="str">
        <v>Diesel</v>
      </c>
    </row>
    <row r="218" spans="6:6" x14ac:dyDescent="0.35">
      <c r="F218" t="str">
        <v>Aluminum Closures Bought From 3rd Parties</v>
      </c>
    </row>
    <row r="219" spans="6:6" x14ac:dyDescent="0.35">
      <c r="F219" t="str">
        <v>Yeast</v>
      </c>
    </row>
    <row r="220" spans="6:6" x14ac:dyDescent="0.35">
      <c r="F220" t="str">
        <v>Roadtanker Materials</v>
      </c>
    </row>
    <row r="221" spans="6:6" x14ac:dyDescent="0.35">
      <c r="F221" t="str">
        <v>Lab Chemicals And Lab Supplies</v>
      </c>
    </row>
    <row r="222" spans="6:6" x14ac:dyDescent="0.35">
      <c r="F222" t="str">
        <v>Import - Vilc At Standard (Semi) Fp Within The Zone</v>
      </c>
    </row>
    <row r="223" spans="6:6" x14ac:dyDescent="0.35">
      <c r="F223" t="str">
        <v>Water Total</v>
      </c>
    </row>
    <row r="224" spans="6:6" x14ac:dyDescent="0.35">
      <c r="F224" t="str">
        <v>Payroll Special Kegging</v>
      </c>
    </row>
    <row r="225" spans="6:6" x14ac:dyDescent="0.35">
      <c r="F225" t="str">
        <v>#N/A</v>
      </c>
    </row>
    <row r="226" spans="6:6" x14ac:dyDescent="0.35">
      <c r="F226" t="str">
        <v>Other Vic</v>
      </c>
    </row>
    <row r="227" spans="6:6" x14ac:dyDescent="0.35">
      <c r="F227" t="str">
        <v>Pet (Eco-Taxes)</v>
      </c>
    </row>
    <row r="228" spans="6:6" x14ac:dyDescent="0.35">
      <c r="F228" t="str">
        <v>Beer Kit for 00 from own production plant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Yadav</dc:creator>
  <cp:lastModifiedBy>Yadav, Rakshit</cp:lastModifiedBy>
  <dcterms:created xsi:type="dcterms:W3CDTF">2015-06-05T18:17:20Z</dcterms:created>
  <dcterms:modified xsi:type="dcterms:W3CDTF">2026-04-02T11:02:32Z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2026-04-02T11:02:31Z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0ba75e18-45a7-4cb9-b63b-445c6fdabac2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